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<sst xmlns="http://schemas.openxmlformats.org/spreadsheetml/2006/main" count="100" uniqueCount="36">
  <si>
    <t>Vitals taken before eating (around 1:30pm)</t>
  </si>
  <si>
    <t>Date</t>
  </si>
  <si>
    <t>21/10/2025</t>
  </si>
  <si>
    <t>Patient  Name</t>
  </si>
  <si>
    <t>Vitals measured</t>
  </si>
  <si>
    <t>Wearable</t>
  </si>
  <si>
    <t>Standard Device (mg/dL)</t>
  </si>
  <si>
    <t>Error Margin</t>
  </si>
  <si>
    <t>Obed Bambiebo</t>
  </si>
  <si>
    <t>Blood Pressure (mmHg)</t>
  </si>
  <si>
    <t>110/65</t>
  </si>
  <si>
    <t>117/59</t>
  </si>
  <si>
    <t>Blood Glucose (mg/dL)</t>
  </si>
  <si>
    <t>Heart Rate (bpm)</t>
  </si>
  <si>
    <t>Oxygen Saturation (%)</t>
  </si>
  <si>
    <t>-</t>
  </si>
  <si>
    <t>Body temperature (deg cel)</t>
  </si>
  <si>
    <t>Douglas Gidimadjor</t>
  </si>
  <si>
    <t>110/66</t>
  </si>
  <si>
    <t>119/52</t>
  </si>
  <si>
    <t>Nathaniel Adika</t>
  </si>
  <si>
    <t>112/67</t>
  </si>
  <si>
    <t>125/80</t>
  </si>
  <si>
    <t>13/13</t>
  </si>
  <si>
    <t>Daniel Kwarteng</t>
  </si>
  <si>
    <t>115/70</t>
  </si>
  <si>
    <t>Vitals taken after eating (around 4:15pm)</t>
  </si>
  <si>
    <t>110/66 (before exercise) 112/67 (after exercise)</t>
  </si>
  <si>
    <t>113/55(before exercise) 136/60(after exercise)</t>
  </si>
  <si>
    <t>3/11(before exercise) 14/7(after exercise)</t>
  </si>
  <si>
    <t>117/71</t>
  </si>
  <si>
    <t>113/69</t>
  </si>
  <si>
    <t>113/68</t>
  </si>
  <si>
    <t>124/86</t>
  </si>
  <si>
    <t>Nathaniel Adibuer</t>
  </si>
  <si>
    <t>118/67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</si>
</sst>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4.75"/>
    <col customWidth="1" min="3" max="3" width="39.25"/>
    <col customWidth="1" min="4" max="4" width="41.88"/>
    <col customWidth="1" min="5" max="5" width="35.63"/>
  </cols>
  <sheetData>
    <row r="1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 t="s">
        <v>1</v>
      </c>
      <c r="B2" s="1" t="s">
        <v>2</v>
      </c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8</v>
      </c>
      <c r="B4" s="3" t="s">
        <v>9</v>
      </c>
      <c r="C4" s="3" t="s">
        <v>10</v>
      </c>
      <c r="D4" s="3" t="s">
        <v>11</v>
      </c>
      <c r="E4" s="4">
        <v>45844.0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"/>
      <c r="B5" s="3" t="s">
        <v>12</v>
      </c>
      <c r="C5" s="3">
        <v>80.9</v>
      </c>
      <c r="D5" s="3">
        <v>71.0</v>
      </c>
      <c r="E5" s="3">
        <f t="shared" ref="E5:E6" si="1">ABS(D5-C5)</f>
        <v>9.9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/>
      <c r="B6" s="3" t="s">
        <v>13</v>
      </c>
      <c r="C6" s="3">
        <v>151.0</v>
      </c>
      <c r="D6" s="3">
        <v>61.0</v>
      </c>
      <c r="E6" s="3">
        <f t="shared" si="1"/>
        <v>90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"/>
      <c r="B7" s="3" t="s">
        <v>14</v>
      </c>
      <c r="C7" s="3">
        <v>92.0</v>
      </c>
      <c r="D7" s="3" t="s">
        <v>15</v>
      </c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"/>
      <c r="B8" s="3" t="s">
        <v>16</v>
      </c>
      <c r="C8" s="3">
        <v>37.0</v>
      </c>
      <c r="D8" s="3" t="s">
        <v>15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"/>
      <c r="B9" s="3"/>
      <c r="C9" s="2"/>
      <c r="D9" s="2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 t="s">
        <v>17</v>
      </c>
      <c r="B10" s="3" t="s">
        <v>9</v>
      </c>
      <c r="C10" s="3" t="s">
        <v>18</v>
      </c>
      <c r="D10" s="3" t="s">
        <v>19</v>
      </c>
      <c r="E10" s="4">
        <v>45914.0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/>
      <c r="B11" s="3" t="s">
        <v>12</v>
      </c>
      <c r="C11" s="3">
        <v>82.6</v>
      </c>
      <c r="D11" s="3">
        <v>69.0</v>
      </c>
      <c r="E11" s="3">
        <f t="shared" ref="E11:E12" si="2">ABS(D11-C11)</f>
        <v>13.6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/>
      <c r="B12" s="3" t="s">
        <v>13</v>
      </c>
      <c r="C12" s="3">
        <v>93.0</v>
      </c>
      <c r="D12" s="3">
        <v>76.0</v>
      </c>
      <c r="E12" s="3">
        <f t="shared" si="2"/>
        <v>17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"/>
      <c r="B13" s="3" t="s">
        <v>14</v>
      </c>
      <c r="C13" s="3">
        <v>87.0</v>
      </c>
      <c r="D13" s="3" t="s">
        <v>15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/>
      <c r="B14" s="3" t="s">
        <v>16</v>
      </c>
      <c r="C14" s="3">
        <v>37.4</v>
      </c>
      <c r="D14" s="3" t="s">
        <v>15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/>
      <c r="B15" s="3"/>
      <c r="C15" s="3"/>
      <c r="D15" s="3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 t="s">
        <v>20</v>
      </c>
      <c r="B16" s="3" t="s">
        <v>9</v>
      </c>
      <c r="C16" s="3" t="s">
        <v>21</v>
      </c>
      <c r="D16" s="3" t="s">
        <v>22</v>
      </c>
      <c r="E16" s="3" t="s">
        <v>23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/>
      <c r="B17" s="3" t="s">
        <v>12</v>
      </c>
      <c r="C17" s="3">
        <v>85.1</v>
      </c>
      <c r="D17" s="3">
        <v>74.0</v>
      </c>
      <c r="E17" s="3">
        <f t="shared" ref="E17:E18" si="3">ABS(D17-C17)</f>
        <v>11.1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/>
      <c r="B18" s="3" t="s">
        <v>13</v>
      </c>
      <c r="C18" s="3">
        <v>134.0</v>
      </c>
      <c r="D18" s="3">
        <v>73.0</v>
      </c>
      <c r="E18" s="3">
        <f t="shared" si="3"/>
        <v>61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"/>
      <c r="B19" s="3" t="s">
        <v>14</v>
      </c>
      <c r="C19" s="3">
        <v>99.0</v>
      </c>
      <c r="D19" s="3" t="s">
        <v>15</v>
      </c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"/>
      <c r="B20" s="3" t="s">
        <v>16</v>
      </c>
      <c r="C20" s="3">
        <v>37.4</v>
      </c>
      <c r="D20" s="3" t="s">
        <v>15</v>
      </c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" t="s">
        <v>24</v>
      </c>
      <c r="B23" s="3" t="s">
        <v>9</v>
      </c>
      <c r="C23" s="3" t="s">
        <v>25</v>
      </c>
      <c r="D23" s="3" t="s">
        <v>15</v>
      </c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"/>
      <c r="B24" s="3" t="s">
        <v>12</v>
      </c>
      <c r="C24" s="3">
        <v>74.0</v>
      </c>
      <c r="D24" s="3">
        <v>92.1</v>
      </c>
      <c r="E24" s="3">
        <f>D24-C24</f>
        <v>18.1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"/>
      <c r="B25" s="3" t="s">
        <v>13</v>
      </c>
      <c r="C25" s="3">
        <v>118.0</v>
      </c>
      <c r="D25" s="3" t="s">
        <v>15</v>
      </c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3" t="s">
        <v>14</v>
      </c>
      <c r="C26" s="3">
        <v>83.0</v>
      </c>
      <c r="D26" s="3" t="s">
        <v>15</v>
      </c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3" t="s">
        <v>16</v>
      </c>
      <c r="C27" s="3">
        <v>33.6</v>
      </c>
      <c r="D27" s="3" t="s">
        <v>15</v>
      </c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3"/>
      <c r="C28" s="2"/>
      <c r="D28" s="2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"/>
      <c r="B29" s="1"/>
      <c r="C29" s="1"/>
      <c r="D29" s="1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" t="s">
        <v>26</v>
      </c>
      <c r="B30" s="1"/>
      <c r="C30" s="1"/>
      <c r="D30" s="1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" t="s">
        <v>1</v>
      </c>
      <c r="B31" s="1" t="s">
        <v>2</v>
      </c>
      <c r="C31" s="1"/>
      <c r="D31" s="1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1" t="s">
        <v>3</v>
      </c>
      <c r="B32" s="1" t="s">
        <v>4</v>
      </c>
      <c r="C32" s="1" t="s">
        <v>5</v>
      </c>
      <c r="D32" s="1" t="s">
        <v>6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" t="s">
        <v>8</v>
      </c>
      <c r="B33" s="3" t="s">
        <v>9</v>
      </c>
      <c r="C33" s="3" t="s">
        <v>27</v>
      </c>
      <c r="D33" s="3" t="s">
        <v>28</v>
      </c>
      <c r="E33" s="3" t="s">
        <v>29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3" t="s">
        <v>12</v>
      </c>
      <c r="C34" s="3">
        <v>86.7</v>
      </c>
      <c r="D34" s="3">
        <v>82.0</v>
      </c>
      <c r="E34" s="3">
        <f t="shared" ref="E34:E35" si="4">ABS(D34-C34)</f>
        <v>4.7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3" t="s">
        <v>13</v>
      </c>
      <c r="C35" s="3">
        <v>136.0</v>
      </c>
      <c r="D35" s="3">
        <v>62.0</v>
      </c>
      <c r="E35" s="3">
        <f t="shared" si="4"/>
        <v>74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3" t="s">
        <v>14</v>
      </c>
      <c r="C36" s="3">
        <v>100.0</v>
      </c>
      <c r="D36" s="3" t="s">
        <v>15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3" t="s">
        <v>16</v>
      </c>
      <c r="C37" s="3">
        <v>33.3</v>
      </c>
      <c r="D37" s="3" t="s">
        <v>15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3"/>
      <c r="C38" s="2"/>
      <c r="D38" s="2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" t="s">
        <v>17</v>
      </c>
      <c r="B39" s="3" t="s">
        <v>9</v>
      </c>
      <c r="C39" s="3" t="s">
        <v>30</v>
      </c>
      <c r="D39" s="3" t="s">
        <v>31</v>
      </c>
      <c r="E39" s="4">
        <v>45749.0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3" t="s">
        <v>12</v>
      </c>
      <c r="C40" s="3">
        <v>96.1</v>
      </c>
      <c r="D40" s="3">
        <v>129.0</v>
      </c>
      <c r="E40" s="3">
        <f>D40-C40</f>
        <v>32.9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3" t="s">
        <v>13</v>
      </c>
      <c r="C41" s="3">
        <v>149.0</v>
      </c>
      <c r="D41" s="3">
        <v>80.0</v>
      </c>
      <c r="E41" s="3">
        <f>ABS(D41-C41)</f>
        <v>69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"/>
      <c r="B42" s="3" t="s">
        <v>14</v>
      </c>
      <c r="C42" s="3">
        <v>88.0</v>
      </c>
      <c r="D42" s="3" t="s">
        <v>15</v>
      </c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"/>
      <c r="B43" s="3" t="s">
        <v>16</v>
      </c>
      <c r="C43" s="3">
        <v>37.7</v>
      </c>
      <c r="D43" s="3" t="s">
        <v>15</v>
      </c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"/>
      <c r="B44" s="3"/>
      <c r="C44" s="3"/>
      <c r="D44" s="3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" t="s">
        <v>20</v>
      </c>
      <c r="B45" s="3" t="s">
        <v>9</v>
      </c>
      <c r="C45" s="3" t="s">
        <v>32</v>
      </c>
      <c r="D45" s="3" t="s">
        <v>33</v>
      </c>
      <c r="E45" s="4">
        <v>45979.0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"/>
      <c r="B46" s="3" t="s">
        <v>12</v>
      </c>
      <c r="C46" s="3">
        <v>88.4</v>
      </c>
      <c r="D46" s="3">
        <v>118.0</v>
      </c>
      <c r="E46" s="3">
        <f>D46-C46</f>
        <v>29.6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"/>
      <c r="B47" s="3" t="s">
        <v>13</v>
      </c>
      <c r="C47" s="3">
        <v>163.0</v>
      </c>
      <c r="D47" s="3">
        <v>71.0</v>
      </c>
      <c r="E47" s="3">
        <f>ABS(D47-C47)</f>
        <v>92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"/>
      <c r="B48" s="3" t="s">
        <v>14</v>
      </c>
      <c r="C48" s="3">
        <v>91.0</v>
      </c>
      <c r="D48" s="3" t="s">
        <v>15</v>
      </c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"/>
      <c r="B49" s="3" t="s">
        <v>16</v>
      </c>
      <c r="C49" s="3">
        <v>34.9</v>
      </c>
      <c r="D49" s="3" t="s">
        <v>15</v>
      </c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" t="s">
        <v>34</v>
      </c>
      <c r="B52" s="3" t="s">
        <v>9</v>
      </c>
      <c r="C52" s="3" t="s">
        <v>18</v>
      </c>
      <c r="D52" s="3" t="s">
        <v>35</v>
      </c>
      <c r="E52" s="4">
        <v>45870.0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"/>
      <c r="B53" s="3" t="s">
        <v>12</v>
      </c>
      <c r="C53" s="3">
        <v>82.4</v>
      </c>
      <c r="D53" s="3">
        <v>93.0</v>
      </c>
      <c r="E53" s="3">
        <f>D53-C53</f>
        <v>10.6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"/>
      <c r="B54" s="3" t="s">
        <v>13</v>
      </c>
      <c r="C54" s="3">
        <v>141.0</v>
      </c>
      <c r="D54" s="3">
        <v>70.0</v>
      </c>
      <c r="E54" s="3">
        <v>71.0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3" t="s">
        <v>14</v>
      </c>
      <c r="C55" s="3">
        <v>98.0</v>
      </c>
      <c r="D55" s="3" t="s">
        <v>15</v>
      </c>
      <c r="E55" s="3" t="s">
        <v>15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3" t="s">
        <v>16</v>
      </c>
      <c r="C56" s="3">
        <v>36.6</v>
      </c>
      <c r="D56" s="3" t="s">
        <v>15</v>
      </c>
      <c r="E56" s="3" t="s">
        <v>15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